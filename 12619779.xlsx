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257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/>
  <c r="J28" s="1"/>
  <c r="I27"/>
  <c r="J27" s="1"/>
  <c r="I26"/>
  <c r="J26" s="1"/>
  <c r="I24"/>
  <c r="J24" s="1"/>
  <c r="I23"/>
  <c r="J23" s="1"/>
  <c r="I21"/>
  <c r="J21" s="1"/>
  <c r="I20"/>
  <c r="J20" s="1"/>
  <c r="I19"/>
  <c r="J19" s="1"/>
  <c r="I25"/>
  <c r="J25" s="1"/>
  <c r="I22"/>
  <c r="J22" s="1"/>
  <c r="I18"/>
  <c r="J18" s="1"/>
  <c r="I17"/>
  <c r="J17" s="1"/>
  <c r="J16"/>
  <c r="I16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J87"/>
  <c r="I87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7"/>
  <c r="J7" s="1"/>
  <c r="I6"/>
  <c r="J6" l="1"/>
</calcChain>
</file>

<file path=xl/sharedStrings.xml><?xml version="1.0" encoding="utf-8"?>
<sst xmlns="http://schemas.openxmlformats.org/spreadsheetml/2006/main" count="145" uniqueCount="68">
  <si>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</si>
  <si>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</si>
  <si>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</si>
  <si>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</si>
  <si>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</si>
  <si>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</si>
  <si>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</si>
  <si>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</si>
  <si>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</si>
  <si>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</si>
  <si>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</si>
  <si>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</si>
  <si>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</si>
  <si>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</si>
  <si>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</si>
  <si>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</si>
  <si>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</si>
  <si>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</si>
  <si>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</si>
  <si>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</si>
  <si>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</si>
  <si>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</si>
  <si>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</si>
  <si>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</si>
  <si>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</si>
  <si>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</si>
  <si>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</si>
  <si>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</si>
  <si>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</si>
  <si>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</si>
  <si>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</si>
  <si>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</si>
  <si>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</si>
  <si>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</si>
  <si>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</si>
  <si>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</si>
  <si>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</si>
  <si>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</si>
  <si>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</si>
  <si>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</si>
  <si>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</si>
  <si>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</si>
  <si>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</si>
  <si>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</si>
  <si>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</si>
  <si>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</si>
  <si>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</si>
  <si>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</si>
  <si>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</si>
  <si>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</si>
  <si>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</si>
  <si>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</si>
  <si>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</si>
  <si>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Ritik Malik</t>
  </si>
  <si>
    <t>MCA</t>
  </si>
  <si>
    <t xml:space="preserve">                                    August</t>
  </si>
  <si>
    <t>Moderate</t>
  </si>
  <si>
    <t>Low</t>
  </si>
  <si>
    <t>Day feels productive</t>
  </si>
  <si>
    <t xml:space="preserve">Productive but tired </t>
  </si>
  <si>
    <t>High</t>
  </si>
  <si>
    <t>Enjoyable and Productive</t>
  </si>
  <si>
    <t xml:space="preserve">Productive </t>
  </si>
  <si>
    <t>Productive</t>
  </si>
  <si>
    <t>Enjoyable but tired</t>
  </si>
  <si>
    <t>Enjoyable</t>
  </si>
  <si>
    <t>Tired</t>
  </si>
  <si>
    <t xml:space="preserve">Enjoyable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</si>
</sst>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4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zoomScaleNormal="100" workbookViewId="0">
      <selection activeCell="D36" sqref="D36"/>
    </sheetView>
  </sheetViews>
  <sheetFormatPr defaultColWidth="8.6328125" defaultRowHeight="14.5"/>
  <cols>
    <col min="1" max="1" width="105" customWidth="1"/>
  </cols>
  <sheetData>
    <row r="1" spans="1:1" ht="23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80"/>
  <sheetViews>
    <sheetView showGridLines="0" tabSelected="1" zoomScale="85" zoomScaleNormal="85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31" sqref="D31"/>
    </sheetView>
  </sheetViews>
  <sheetFormatPr defaultColWidth="8.6328125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53</v>
      </c>
      <c r="C2" s="20"/>
      <c r="D2" s="20"/>
      <c r="E2" s="6" t="s">
        <v>31</v>
      </c>
      <c r="F2" s="20">
        <v>12619779</v>
      </c>
      <c r="G2" s="20"/>
    </row>
    <row r="3" spans="1:14" ht="19.5" customHeight="1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8" si="0">IF(SUM(B6:F6,H6)=0,"",SUM(B6:F6,H6))</f>
        <v>885</v>
      </c>
      <c r="J6" s="10">
        <f t="shared" ref="J6:J4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>
      <c r="A7" s="13">
        <v>46254</v>
      </c>
      <c r="B7" s="14">
        <v>390</v>
      </c>
      <c r="C7" s="14">
        <v>30</v>
      </c>
      <c r="D7" s="14">
        <v>90</v>
      </c>
      <c r="E7" s="14">
        <v>90</v>
      </c>
      <c r="F7" s="14">
        <v>350</v>
      </c>
      <c r="G7" s="14">
        <v>7</v>
      </c>
      <c r="H7" s="14">
        <v>30</v>
      </c>
      <c r="I7" s="15">
        <f t="shared" si="0"/>
        <v>980</v>
      </c>
      <c r="J7" s="15">
        <f t="shared" si="1"/>
        <v>460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>
      <c r="A8" s="13">
        <v>46255</v>
      </c>
      <c r="B8" s="14">
        <v>390</v>
      </c>
      <c r="C8" s="14">
        <v>30</v>
      </c>
      <c r="D8" s="14">
        <v>90</v>
      </c>
      <c r="E8" s="14">
        <v>90</v>
      </c>
      <c r="F8" s="14">
        <v>350</v>
      </c>
      <c r="G8" s="14">
        <v>7</v>
      </c>
      <c r="H8" s="14">
        <v>30</v>
      </c>
      <c r="I8" s="15">
        <f t="shared" ref="I8:I28" si="2">IF(SUM(B8:F8,H8)=0,"",SUM(B8:F8,H8))</f>
        <v>980</v>
      </c>
      <c r="J8" s="15">
        <f t="shared" ref="J8:J28" si="3">IF(I8="","",1440-I8)</f>
        <v>460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>
      <c r="A9" s="13">
        <v>46256</v>
      </c>
      <c r="B9" s="14">
        <v>390</v>
      </c>
      <c r="C9" s="14">
        <v>30</v>
      </c>
      <c r="D9" s="14">
        <v>120</v>
      </c>
      <c r="E9" s="14">
        <v>90</v>
      </c>
      <c r="F9" s="14">
        <v>0</v>
      </c>
      <c r="G9" s="14">
        <v>0</v>
      </c>
      <c r="H9" s="14">
        <v>60</v>
      </c>
      <c r="I9" s="15">
        <f t="shared" si="2"/>
        <v>690</v>
      </c>
      <c r="J9" s="15">
        <f t="shared" si="3"/>
        <v>750</v>
      </c>
      <c r="K9" s="16" t="s">
        <v>49</v>
      </c>
      <c r="L9" s="16" t="s">
        <v>50</v>
      </c>
      <c r="M9" s="16" t="s">
        <v>60</v>
      </c>
      <c r="N9" s="17" t="s">
        <v>61</v>
      </c>
    </row>
    <row r="10" spans="1:14">
      <c r="A10" s="13">
        <v>46257</v>
      </c>
      <c r="B10" s="14">
        <v>390</v>
      </c>
      <c r="C10" s="14">
        <v>30</v>
      </c>
      <c r="D10" s="14">
        <v>90</v>
      </c>
      <c r="E10" s="14">
        <v>90</v>
      </c>
      <c r="F10" s="14">
        <v>0</v>
      </c>
      <c r="G10" s="14">
        <v>0</v>
      </c>
      <c r="H10" s="14">
        <v>90</v>
      </c>
      <c r="I10" s="15">
        <f t="shared" si="2"/>
        <v>690</v>
      </c>
      <c r="J10" s="15">
        <f t="shared" si="3"/>
        <v>750</v>
      </c>
      <c r="K10" s="16" t="s">
        <v>49</v>
      </c>
      <c r="L10" s="16" t="s">
        <v>50</v>
      </c>
      <c r="M10" s="16" t="s">
        <v>60</v>
      </c>
      <c r="N10" s="17" t="s">
        <v>61</v>
      </c>
    </row>
    <row r="11" spans="1:14">
      <c r="A11" s="13">
        <v>46258</v>
      </c>
      <c r="B11" s="14">
        <v>390</v>
      </c>
      <c r="C11" s="14">
        <v>30</v>
      </c>
      <c r="D11" s="14">
        <v>90</v>
      </c>
      <c r="E11" s="14">
        <v>120</v>
      </c>
      <c r="F11" s="14">
        <v>250</v>
      </c>
      <c r="G11" s="14">
        <v>5</v>
      </c>
      <c r="H11" s="14">
        <v>30</v>
      </c>
      <c r="I11" s="15">
        <f t="shared" si="2"/>
        <v>910</v>
      </c>
      <c r="J11" s="15">
        <f t="shared" si="3"/>
        <v>530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>
      <c r="A12" s="13">
        <v>46259</v>
      </c>
      <c r="B12" s="14">
        <v>390</v>
      </c>
      <c r="C12" s="14">
        <v>30</v>
      </c>
      <c r="D12" s="14">
        <v>90</v>
      </c>
      <c r="E12" s="14">
        <v>90</v>
      </c>
      <c r="F12" s="14">
        <v>250</v>
      </c>
      <c r="G12" s="14">
        <v>5</v>
      </c>
      <c r="H12" s="14">
        <v>60</v>
      </c>
      <c r="I12" s="15">
        <f t="shared" si="2"/>
        <v>910</v>
      </c>
      <c r="J12" s="15">
        <f t="shared" si="3"/>
        <v>530</v>
      </c>
      <c r="K12" s="16" t="s">
        <v>56</v>
      </c>
      <c r="L12" s="16" t="s">
        <v>50</v>
      </c>
      <c r="M12" s="16" t="s">
        <v>51</v>
      </c>
      <c r="N12" s="17" t="s">
        <v>63</v>
      </c>
    </row>
    <row r="13" spans="1:14">
      <c r="A13" s="13">
        <v>46260</v>
      </c>
      <c r="B13" s="14">
        <v>390</v>
      </c>
      <c r="C13" s="14">
        <v>30</v>
      </c>
      <c r="D13" s="14">
        <v>60</v>
      </c>
      <c r="E13" s="14">
        <v>90</v>
      </c>
      <c r="F13" s="14">
        <v>300</v>
      </c>
      <c r="G13" s="14">
        <v>6</v>
      </c>
      <c r="H13" s="14">
        <v>30</v>
      </c>
      <c r="I13" s="15">
        <f t="shared" si="2"/>
        <v>900</v>
      </c>
      <c r="J13" s="15">
        <f t="shared" si="3"/>
        <v>540</v>
      </c>
      <c r="K13" s="16" t="s">
        <v>56</v>
      </c>
      <c r="L13" s="16" t="s">
        <v>50</v>
      </c>
      <c r="M13" s="16" t="s">
        <v>51</v>
      </c>
      <c r="N13" s="17" t="s">
        <v>63</v>
      </c>
    </row>
    <row r="14" spans="1:14">
      <c r="A14" s="13">
        <v>46261</v>
      </c>
      <c r="B14" s="14">
        <v>390</v>
      </c>
      <c r="C14" s="14">
        <v>30</v>
      </c>
      <c r="D14" s="14">
        <v>90</v>
      </c>
      <c r="E14" s="14">
        <v>90</v>
      </c>
      <c r="F14" s="14">
        <v>350</v>
      </c>
      <c r="G14" s="14">
        <v>7</v>
      </c>
      <c r="H14" s="14">
        <v>60</v>
      </c>
      <c r="I14" s="15">
        <f t="shared" si="2"/>
        <v>1010</v>
      </c>
      <c r="J14" s="15">
        <f t="shared" si="3"/>
        <v>430</v>
      </c>
      <c r="K14" s="16" t="s">
        <v>56</v>
      </c>
      <c r="L14" s="16" t="s">
        <v>50</v>
      </c>
      <c r="M14" s="16" t="s">
        <v>57</v>
      </c>
      <c r="N14" s="17" t="s">
        <v>59</v>
      </c>
    </row>
    <row r="15" spans="1:14">
      <c r="A15" s="13">
        <v>46262</v>
      </c>
      <c r="B15" s="14">
        <v>300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120</v>
      </c>
      <c r="I15" s="15">
        <f t="shared" si="2"/>
        <v>420</v>
      </c>
      <c r="J15" s="15">
        <f t="shared" si="3"/>
        <v>1020</v>
      </c>
      <c r="K15" s="16" t="s">
        <v>56</v>
      </c>
      <c r="L15" s="16" t="s">
        <v>50</v>
      </c>
      <c r="M15" s="16" t="s">
        <v>57</v>
      </c>
      <c r="N15" s="17" t="s">
        <v>64</v>
      </c>
    </row>
    <row r="16" spans="1:14">
      <c r="A16" s="13">
        <v>46263</v>
      </c>
      <c r="B16" s="14">
        <v>390</v>
      </c>
      <c r="C16" s="14">
        <v>0</v>
      </c>
      <c r="D16" s="14">
        <v>60</v>
      </c>
      <c r="E16" s="14">
        <v>60</v>
      </c>
      <c r="F16" s="14">
        <v>0</v>
      </c>
      <c r="G16" s="14">
        <v>0</v>
      </c>
      <c r="H16" s="14">
        <v>120</v>
      </c>
      <c r="I16" s="15">
        <f t="shared" si="2"/>
        <v>630</v>
      </c>
      <c r="J16" s="15">
        <f t="shared" si="3"/>
        <v>810</v>
      </c>
      <c r="K16" s="16" t="s">
        <v>49</v>
      </c>
      <c r="L16" s="16" t="s">
        <v>50</v>
      </c>
      <c r="M16" s="16" t="s">
        <v>60</v>
      </c>
      <c r="N16" s="17" t="s">
        <v>65</v>
      </c>
    </row>
    <row r="17" spans="1:14">
      <c r="A17" s="13">
        <v>46264</v>
      </c>
      <c r="B17" s="14">
        <v>390</v>
      </c>
      <c r="C17" s="14">
        <v>60</v>
      </c>
      <c r="D17" s="14">
        <v>30</v>
      </c>
      <c r="E17" s="14">
        <v>60</v>
      </c>
      <c r="F17" s="14">
        <v>0</v>
      </c>
      <c r="G17" s="14">
        <v>0</v>
      </c>
      <c r="H17" s="14">
        <v>150</v>
      </c>
      <c r="I17" s="15">
        <f t="shared" si="2"/>
        <v>690</v>
      </c>
      <c r="J17" s="15">
        <f t="shared" si="3"/>
        <v>750</v>
      </c>
      <c r="K17" s="16" t="s">
        <v>49</v>
      </c>
      <c r="L17" s="16" t="s">
        <v>50</v>
      </c>
      <c r="M17" s="16" t="s">
        <v>60</v>
      </c>
      <c r="N17" s="17" t="s">
        <v>65</v>
      </c>
    </row>
    <row r="18" spans="1:14">
      <c r="A18" s="13">
        <v>46265</v>
      </c>
      <c r="B18" s="14">
        <v>390</v>
      </c>
      <c r="C18" s="14">
        <v>0</v>
      </c>
      <c r="D18" s="14">
        <v>90</v>
      </c>
      <c r="E18" s="14">
        <v>0</v>
      </c>
      <c r="F18" s="14">
        <v>0</v>
      </c>
      <c r="G18" s="14">
        <v>0</v>
      </c>
      <c r="H18" s="14">
        <v>120</v>
      </c>
      <c r="I18" s="15">
        <f t="shared" si="2"/>
        <v>600</v>
      </c>
      <c r="J18" s="15">
        <f t="shared" si="3"/>
        <v>840</v>
      </c>
      <c r="K18" s="16" t="s">
        <v>56</v>
      </c>
      <c r="L18" s="16" t="s">
        <v>50</v>
      </c>
      <c r="M18" s="16" t="s">
        <v>57</v>
      </c>
      <c r="N18" s="17" t="s">
        <v>66</v>
      </c>
    </row>
    <row r="19" spans="1:14">
      <c r="A19" s="13">
        <v>46266</v>
      </c>
      <c r="B19" s="14">
        <v>390</v>
      </c>
      <c r="C19" s="14">
        <v>30</v>
      </c>
      <c r="D19" s="14">
        <v>90</v>
      </c>
      <c r="E19" s="14">
        <v>90</v>
      </c>
      <c r="F19" s="14">
        <v>250</v>
      </c>
      <c r="G19" s="14">
        <v>5</v>
      </c>
      <c r="H19" s="14">
        <v>60</v>
      </c>
      <c r="I19" s="15">
        <f t="shared" ref="I19:I21" si="4">IF(SUM(B19:F19,H19)=0,"",SUM(B19:F19,H19))</f>
        <v>910</v>
      </c>
      <c r="J19" s="15">
        <f t="shared" ref="J19:J21" si="5">IF(I19="","",1440-I19)</f>
        <v>530</v>
      </c>
      <c r="K19" s="16" t="s">
        <v>56</v>
      </c>
      <c r="L19" s="16" t="s">
        <v>50</v>
      </c>
      <c r="M19" s="16" t="s">
        <v>51</v>
      </c>
      <c r="N19" s="17" t="s">
        <v>63</v>
      </c>
    </row>
    <row r="20" spans="1:14">
      <c r="A20" s="13">
        <v>46267</v>
      </c>
      <c r="B20" s="14">
        <v>390</v>
      </c>
      <c r="C20" s="14">
        <v>30</v>
      </c>
      <c r="D20" s="14">
        <v>60</v>
      </c>
      <c r="E20" s="14">
        <v>90</v>
      </c>
      <c r="F20" s="14">
        <v>300</v>
      </c>
      <c r="G20" s="14">
        <v>6</v>
      </c>
      <c r="H20" s="14">
        <v>30</v>
      </c>
      <c r="I20" s="15">
        <f t="shared" si="4"/>
        <v>900</v>
      </c>
      <c r="J20" s="15">
        <f t="shared" si="5"/>
        <v>540</v>
      </c>
      <c r="K20" s="16" t="s">
        <v>56</v>
      </c>
      <c r="L20" s="16" t="s">
        <v>50</v>
      </c>
      <c r="M20" s="16" t="s">
        <v>51</v>
      </c>
      <c r="N20" s="17" t="s">
        <v>63</v>
      </c>
    </row>
    <row r="21" spans="1:14">
      <c r="A21" s="13">
        <v>46268</v>
      </c>
      <c r="B21" s="14">
        <v>390</v>
      </c>
      <c r="C21" s="14">
        <v>30</v>
      </c>
      <c r="D21" s="14">
        <v>90</v>
      </c>
      <c r="E21" s="14">
        <v>90</v>
      </c>
      <c r="F21" s="14">
        <v>350</v>
      </c>
      <c r="G21" s="14">
        <v>7</v>
      </c>
      <c r="H21" s="14">
        <v>60</v>
      </c>
      <c r="I21" s="15">
        <f t="shared" si="4"/>
        <v>1010</v>
      </c>
      <c r="J21" s="15">
        <f t="shared" si="5"/>
        <v>430</v>
      </c>
      <c r="K21" s="16" t="s">
        <v>56</v>
      </c>
      <c r="L21" s="16" t="s">
        <v>50</v>
      </c>
      <c r="M21" s="16" t="s">
        <v>57</v>
      </c>
      <c r="N21" s="17" t="s">
        <v>59</v>
      </c>
    </row>
    <row r="22" spans="1:14">
      <c r="A22" s="13">
        <v>46269</v>
      </c>
      <c r="B22" s="14">
        <v>390</v>
      </c>
      <c r="C22" s="14">
        <v>30</v>
      </c>
      <c r="D22" s="14">
        <v>60</v>
      </c>
      <c r="E22" s="14">
        <v>90</v>
      </c>
      <c r="F22" s="14">
        <v>350</v>
      </c>
      <c r="G22" s="14">
        <v>7</v>
      </c>
      <c r="H22" s="14">
        <v>30</v>
      </c>
      <c r="I22" s="15">
        <f t="shared" si="2"/>
        <v>950</v>
      </c>
      <c r="J22" s="15">
        <f t="shared" si="3"/>
        <v>490</v>
      </c>
      <c r="K22" s="16" t="s">
        <v>56</v>
      </c>
      <c r="L22" s="16" t="s">
        <v>50</v>
      </c>
      <c r="M22" s="16" t="s">
        <v>57</v>
      </c>
      <c r="N22" s="17" t="s">
        <v>59</v>
      </c>
    </row>
    <row r="23" spans="1:14">
      <c r="A23" s="13">
        <v>46270</v>
      </c>
      <c r="B23" s="14">
        <v>390</v>
      </c>
      <c r="C23" s="14">
        <v>30</v>
      </c>
      <c r="D23" s="14">
        <v>120</v>
      </c>
      <c r="E23" s="14">
        <v>90</v>
      </c>
      <c r="F23" s="14">
        <v>0</v>
      </c>
      <c r="G23" s="14">
        <v>0</v>
      </c>
      <c r="H23" s="14">
        <v>60</v>
      </c>
      <c r="I23" s="15">
        <f t="shared" ref="I23:I24" si="6">IF(SUM(B23:F23,H23)=0,"",SUM(B23:F23,H23))</f>
        <v>690</v>
      </c>
      <c r="J23" s="15">
        <f t="shared" ref="J23:J24" si="7">IF(I23="","",1440-I23)</f>
        <v>750</v>
      </c>
      <c r="K23" s="16" t="s">
        <v>49</v>
      </c>
      <c r="L23" s="16" t="s">
        <v>50</v>
      </c>
      <c r="M23" s="16" t="s">
        <v>60</v>
      </c>
      <c r="N23" s="17" t="s">
        <v>61</v>
      </c>
    </row>
    <row r="24" spans="1:14">
      <c r="A24" s="13">
        <v>46271</v>
      </c>
      <c r="B24" s="14">
        <v>390</v>
      </c>
      <c r="C24" s="14">
        <v>30</v>
      </c>
      <c r="D24" s="14">
        <v>90</v>
      </c>
      <c r="E24" s="14">
        <v>90</v>
      </c>
      <c r="F24" s="14">
        <v>0</v>
      </c>
      <c r="G24" s="14">
        <v>0</v>
      </c>
      <c r="H24" s="14">
        <v>90</v>
      </c>
      <c r="I24" s="15">
        <f t="shared" si="6"/>
        <v>690</v>
      </c>
      <c r="J24" s="15">
        <f t="shared" si="7"/>
        <v>750</v>
      </c>
      <c r="K24" s="16" t="s">
        <v>49</v>
      </c>
      <c r="L24" s="16" t="s">
        <v>50</v>
      </c>
      <c r="M24" s="16" t="s">
        <v>60</v>
      </c>
      <c r="N24" s="17" t="s">
        <v>61</v>
      </c>
    </row>
    <row r="25" spans="1:14">
      <c r="A25" s="13">
        <v>46272</v>
      </c>
      <c r="B25" s="14">
        <v>390</v>
      </c>
      <c r="C25" s="14">
        <v>30</v>
      </c>
      <c r="D25" s="14">
        <v>90</v>
      </c>
      <c r="E25" s="14">
        <v>90</v>
      </c>
      <c r="F25" s="14">
        <v>250</v>
      </c>
      <c r="G25" s="14">
        <v>5</v>
      </c>
      <c r="H25" s="14">
        <v>30</v>
      </c>
      <c r="I25" s="15">
        <f t="shared" si="2"/>
        <v>880</v>
      </c>
      <c r="J25" s="15">
        <f t="shared" si="3"/>
        <v>560</v>
      </c>
      <c r="K25" s="16" t="s">
        <v>56</v>
      </c>
      <c r="L25" s="16" t="s">
        <v>50</v>
      </c>
      <c r="M25" s="16" t="s">
        <v>51</v>
      </c>
      <c r="N25" s="17" t="s">
        <v>62</v>
      </c>
    </row>
    <row r="26" spans="1:14">
      <c r="A26" s="13">
        <v>46273</v>
      </c>
      <c r="B26" s="14">
        <v>390</v>
      </c>
      <c r="C26" s="14">
        <v>30</v>
      </c>
      <c r="D26" s="14">
        <v>90</v>
      </c>
      <c r="E26" s="14">
        <v>90</v>
      </c>
      <c r="F26" s="14">
        <v>250</v>
      </c>
      <c r="G26" s="14">
        <v>5</v>
      </c>
      <c r="H26" s="14">
        <v>60</v>
      </c>
      <c r="I26" s="15">
        <f t="shared" si="2"/>
        <v>910</v>
      </c>
      <c r="J26" s="15">
        <f t="shared" si="3"/>
        <v>530</v>
      </c>
      <c r="K26" s="16" t="s">
        <v>56</v>
      </c>
      <c r="L26" s="16" t="s">
        <v>50</v>
      </c>
      <c r="M26" s="16" t="s">
        <v>51</v>
      </c>
      <c r="N26" s="17" t="s">
        <v>63</v>
      </c>
    </row>
    <row r="27" spans="1:14">
      <c r="A27" s="13">
        <v>46274</v>
      </c>
      <c r="B27" s="14">
        <v>390</v>
      </c>
      <c r="C27" s="14">
        <v>30</v>
      </c>
      <c r="D27" s="14">
        <v>60</v>
      </c>
      <c r="E27" s="14">
        <v>90</v>
      </c>
      <c r="F27" s="14">
        <v>300</v>
      </c>
      <c r="G27" s="14">
        <v>6</v>
      </c>
      <c r="H27" s="14">
        <v>30</v>
      </c>
      <c r="I27" s="15">
        <f t="shared" si="2"/>
        <v>900</v>
      </c>
      <c r="J27" s="15">
        <f t="shared" si="3"/>
        <v>540</v>
      </c>
      <c r="K27" s="16" t="s">
        <v>56</v>
      </c>
      <c r="L27" s="16" t="s">
        <v>50</v>
      </c>
      <c r="M27" s="16" t="s">
        <v>51</v>
      </c>
      <c r="N27" s="17" t="s">
        <v>63</v>
      </c>
    </row>
    <row r="28" spans="1:14">
      <c r="A28" s="13">
        <v>46275</v>
      </c>
      <c r="B28" s="14">
        <v>390</v>
      </c>
      <c r="C28" s="14">
        <v>30</v>
      </c>
      <c r="D28" s="14">
        <v>90</v>
      </c>
      <c r="E28" s="14">
        <v>90</v>
      </c>
      <c r="F28" s="14">
        <v>100</v>
      </c>
      <c r="G28" s="14">
        <v>2</v>
      </c>
      <c r="H28" s="14">
        <v>180</v>
      </c>
      <c r="I28" s="15">
        <f t="shared" si="2"/>
        <v>880</v>
      </c>
      <c r="J28" s="15">
        <f t="shared" si="3"/>
        <v>560</v>
      </c>
      <c r="K28" s="16" t="s">
        <v>56</v>
      </c>
      <c r="L28" s="16" t="s">
        <v>50</v>
      </c>
      <c r="M28" s="16" t="s">
        <v>60</v>
      </c>
      <c r="N28" s="17" t="s">
        <v>67</v>
      </c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ref="I49:I112" si="8">IF(SUM(B49:F49,H49)=0,"",SUM(B49:F49,H49))</f>
        <v/>
      </c>
      <c r="J49" s="15" t="str">
        <f t="shared" ref="J49:J112" si="9">IF(I49="","",1440-I49)</f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8"/>
        <v/>
      </c>
      <c r="J50" s="15" t="str">
        <f t="shared" si="9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8"/>
        <v/>
      </c>
      <c r="J51" s="15" t="str">
        <f t="shared" si="9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8"/>
        <v/>
      </c>
      <c r="J52" s="15" t="str">
        <f t="shared" si="9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8"/>
        <v/>
      </c>
      <c r="J53" s="15" t="str">
        <f t="shared" si="9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8"/>
        <v/>
      </c>
      <c r="J54" s="15" t="str">
        <f t="shared" si="9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8"/>
        <v/>
      </c>
      <c r="J55" s="15" t="str">
        <f t="shared" si="9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8"/>
        <v/>
      </c>
      <c r="J56" s="15" t="str">
        <f t="shared" si="9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8"/>
        <v/>
      </c>
      <c r="J57" s="15" t="str">
        <f t="shared" si="9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8"/>
        <v/>
      </c>
      <c r="J58" s="15" t="str">
        <f t="shared" si="9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8"/>
        <v/>
      </c>
      <c r="J59" s="15" t="str">
        <f t="shared" si="9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8"/>
        <v/>
      </c>
      <c r="J60" s="15" t="str">
        <f t="shared" si="9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8"/>
        <v/>
      </c>
      <c r="J61" s="15" t="str">
        <f t="shared" si="9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8"/>
        <v/>
      </c>
      <c r="J62" s="15" t="str">
        <f t="shared" si="9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8"/>
        <v/>
      </c>
      <c r="J63" s="15" t="str">
        <f t="shared" si="9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8"/>
        <v/>
      </c>
      <c r="J64" s="15" t="str">
        <f t="shared" si="9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8"/>
        <v/>
      </c>
      <c r="J65" s="15" t="str">
        <f t="shared" si="9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8"/>
        <v/>
      </c>
      <c r="J66" s="15" t="str">
        <f t="shared" si="9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8"/>
        <v/>
      </c>
      <c r="J67" s="15" t="str">
        <f t="shared" si="9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8"/>
        <v/>
      </c>
      <c r="J68" s="15" t="str">
        <f t="shared" si="9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8"/>
        <v/>
      </c>
      <c r="J69" s="15" t="str">
        <f t="shared" si="9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si="8"/>
        <v/>
      </c>
      <c r="J70" s="15" t="str">
        <f t="shared" si="9"/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ref="I113:I176" si="10">IF(SUM(B113:F113,H113)=0,"",SUM(B113:F113,H113))</f>
        <v/>
      </c>
      <c r="J113" s="15" t="str">
        <f t="shared" ref="J113:J176" si="11">IF(I113="","",1440-I113)</f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0"/>
        <v/>
      </c>
      <c r="J114" s="15" t="str">
        <f t="shared" si="11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0"/>
        <v/>
      </c>
      <c r="J115" s="15" t="str">
        <f t="shared" si="11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0"/>
        <v/>
      </c>
      <c r="J116" s="15" t="str">
        <f t="shared" si="11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0"/>
        <v/>
      </c>
      <c r="J117" s="15" t="str">
        <f t="shared" si="11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0"/>
        <v/>
      </c>
      <c r="J118" s="15" t="str">
        <f t="shared" si="11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0"/>
        <v/>
      </c>
      <c r="J119" s="15" t="str">
        <f t="shared" si="11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0"/>
        <v/>
      </c>
      <c r="J120" s="15" t="str">
        <f t="shared" si="11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0"/>
        <v/>
      </c>
      <c r="J121" s="15" t="str">
        <f t="shared" si="11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0"/>
        <v/>
      </c>
      <c r="J122" s="15" t="str">
        <f t="shared" si="11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0"/>
        <v/>
      </c>
      <c r="J123" s="15" t="str">
        <f t="shared" si="11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0"/>
        <v/>
      </c>
      <c r="J124" s="15" t="str">
        <f t="shared" si="11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0"/>
        <v/>
      </c>
      <c r="J125" s="15" t="str">
        <f t="shared" si="11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0"/>
        <v/>
      </c>
      <c r="J126" s="15" t="str">
        <f t="shared" si="11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0"/>
        <v/>
      </c>
      <c r="J127" s="15" t="str">
        <f t="shared" si="11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0"/>
        <v/>
      </c>
      <c r="J128" s="15" t="str">
        <f t="shared" si="11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0"/>
        <v/>
      </c>
      <c r="J129" s="15" t="str">
        <f t="shared" si="11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0"/>
        <v/>
      </c>
      <c r="J130" s="15" t="str">
        <f t="shared" si="11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0"/>
        <v/>
      </c>
      <c r="J131" s="15" t="str">
        <f t="shared" si="11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0"/>
        <v/>
      </c>
      <c r="J132" s="15" t="str">
        <f t="shared" si="11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0"/>
        <v/>
      </c>
      <c r="J133" s="15" t="str">
        <f t="shared" si="11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si="10"/>
        <v/>
      </c>
      <c r="J134" s="15" t="str">
        <f t="shared" si="11"/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ref="I177:I240" si="12">IF(SUM(B177:F177,H177)=0,"",SUM(B177:F177,H177))</f>
        <v/>
      </c>
      <c r="J177" s="15" t="str">
        <f t="shared" ref="J177:J240" si="13">IF(I177="","",1440-I177)</f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2"/>
        <v/>
      </c>
      <c r="J178" s="15" t="str">
        <f t="shared" si="13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2"/>
        <v/>
      </c>
      <c r="J179" s="15" t="str">
        <f t="shared" si="13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2"/>
        <v/>
      </c>
      <c r="J180" s="15" t="str">
        <f t="shared" si="13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2"/>
        <v/>
      </c>
      <c r="J181" s="15" t="str">
        <f t="shared" si="13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2"/>
        <v/>
      </c>
      <c r="J182" s="15" t="str">
        <f t="shared" si="13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2"/>
        <v/>
      </c>
      <c r="J183" s="15" t="str">
        <f t="shared" si="13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2"/>
        <v/>
      </c>
      <c r="J184" s="15" t="str">
        <f t="shared" si="13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2"/>
        <v/>
      </c>
      <c r="J185" s="15" t="str">
        <f t="shared" si="13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2"/>
        <v/>
      </c>
      <c r="J186" s="15" t="str">
        <f t="shared" si="13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2"/>
        <v/>
      </c>
      <c r="J187" s="15" t="str">
        <f t="shared" si="13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2"/>
        <v/>
      </c>
      <c r="J188" s="15" t="str">
        <f t="shared" si="13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2"/>
        <v/>
      </c>
      <c r="J189" s="15" t="str">
        <f t="shared" si="13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2"/>
        <v/>
      </c>
      <c r="J190" s="15" t="str">
        <f t="shared" si="13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2"/>
        <v/>
      </c>
      <c r="J191" s="15" t="str">
        <f t="shared" si="13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2"/>
        <v/>
      </c>
      <c r="J192" s="15" t="str">
        <f t="shared" si="13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2"/>
        <v/>
      </c>
      <c r="J193" s="15" t="str">
        <f t="shared" si="13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2"/>
        <v/>
      </c>
      <c r="J194" s="15" t="str">
        <f t="shared" si="13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2"/>
        <v/>
      </c>
      <c r="J195" s="15" t="str">
        <f t="shared" si="13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2"/>
        <v/>
      </c>
      <c r="J196" s="15" t="str">
        <f t="shared" si="13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2"/>
        <v/>
      </c>
      <c r="J197" s="15" t="str">
        <f t="shared" si="13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si="12"/>
        <v/>
      </c>
      <c r="J198" s="15" t="str">
        <f t="shared" si="13"/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ref="I241:I304" si="14">IF(SUM(B241:F241,H241)=0,"",SUM(B241:F241,H241))</f>
        <v/>
      </c>
      <c r="J241" s="15" t="str">
        <f t="shared" ref="J241:J304" si="15">IF(I241="","",1440-I241)</f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4"/>
        <v/>
      </c>
      <c r="J242" s="15" t="str">
        <f t="shared" si="15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4"/>
        <v/>
      </c>
      <c r="J243" s="15" t="str">
        <f t="shared" si="15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4"/>
        <v/>
      </c>
      <c r="J244" s="15" t="str">
        <f t="shared" si="15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4"/>
        <v/>
      </c>
      <c r="J245" s="15" t="str">
        <f t="shared" si="15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4"/>
        <v/>
      </c>
      <c r="J246" s="15" t="str">
        <f t="shared" si="15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4"/>
        <v/>
      </c>
      <c r="J247" s="15" t="str">
        <f t="shared" si="15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4"/>
        <v/>
      </c>
      <c r="J248" s="15" t="str">
        <f t="shared" si="15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4"/>
        <v/>
      </c>
      <c r="J249" s="15" t="str">
        <f t="shared" si="15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4"/>
        <v/>
      </c>
      <c r="J250" s="15" t="str">
        <f t="shared" si="15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4"/>
        <v/>
      </c>
      <c r="J251" s="15" t="str">
        <f t="shared" si="15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4"/>
        <v/>
      </c>
      <c r="J252" s="15" t="str">
        <f t="shared" si="15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4"/>
        <v/>
      </c>
      <c r="J253" s="15" t="str">
        <f t="shared" si="15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4"/>
        <v/>
      </c>
      <c r="J254" s="15" t="str">
        <f t="shared" si="15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4"/>
        <v/>
      </c>
      <c r="J255" s="15" t="str">
        <f t="shared" si="15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4"/>
        <v/>
      </c>
      <c r="J256" s="15" t="str">
        <f t="shared" si="15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4"/>
        <v/>
      </c>
      <c r="J257" s="15" t="str">
        <f t="shared" si="15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4"/>
        <v/>
      </c>
      <c r="J258" s="15" t="str">
        <f t="shared" si="15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4"/>
        <v/>
      </c>
      <c r="J259" s="15" t="str">
        <f t="shared" si="15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4"/>
        <v/>
      </c>
      <c r="J260" s="15" t="str">
        <f t="shared" si="15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4"/>
        <v/>
      </c>
      <c r="J261" s="15" t="str">
        <f t="shared" si="15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4"/>
        <v/>
      </c>
      <c r="J262" s="15" t="str">
        <f t="shared" si="15"/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ref="I305:I368" si="16">IF(SUM(B305:F305,H305)=0,"",SUM(B305:F305,H305))</f>
        <v/>
      </c>
      <c r="J305" s="15" t="str">
        <f t="shared" ref="J305:J368" si="17">IF(I305="","",1440-I305)</f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6"/>
        <v/>
      </c>
      <c r="J306" s="15" t="str">
        <f t="shared" si="17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6"/>
        <v/>
      </c>
      <c r="J307" s="15" t="str">
        <f t="shared" si="17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6"/>
        <v/>
      </c>
      <c r="J308" s="15" t="str">
        <f t="shared" si="17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6"/>
        <v/>
      </c>
      <c r="J309" s="15" t="str">
        <f t="shared" si="17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6"/>
        <v/>
      </c>
      <c r="J310" s="15" t="str">
        <f t="shared" si="17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6"/>
        <v/>
      </c>
      <c r="J311" s="15" t="str">
        <f t="shared" si="17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6"/>
        <v/>
      </c>
      <c r="J312" s="15" t="str">
        <f t="shared" si="17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6"/>
        <v/>
      </c>
      <c r="J313" s="15" t="str">
        <f t="shared" si="17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6"/>
        <v/>
      </c>
      <c r="J314" s="15" t="str">
        <f t="shared" si="17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6"/>
        <v/>
      </c>
      <c r="J315" s="15" t="str">
        <f t="shared" si="17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6"/>
        <v/>
      </c>
      <c r="J316" s="15" t="str">
        <f t="shared" si="17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6"/>
        <v/>
      </c>
      <c r="J317" s="15" t="str">
        <f t="shared" si="17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6"/>
        <v/>
      </c>
      <c r="J318" s="15" t="str">
        <f t="shared" si="17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6"/>
        <v/>
      </c>
      <c r="J319" s="15" t="str">
        <f t="shared" si="17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6"/>
        <v/>
      </c>
      <c r="J320" s="15" t="str">
        <f t="shared" si="17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6"/>
        <v/>
      </c>
      <c r="J321" s="15" t="str">
        <f t="shared" si="17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6"/>
        <v/>
      </c>
      <c r="J322" s="15" t="str">
        <f t="shared" si="17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6"/>
        <v/>
      </c>
      <c r="J323" s="15" t="str">
        <f t="shared" si="17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6"/>
        <v/>
      </c>
      <c r="J324" s="15" t="str">
        <f t="shared" si="17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6"/>
        <v/>
      </c>
      <c r="J325" s="15" t="str">
        <f t="shared" si="17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6"/>
        <v/>
      </c>
      <c r="J326" s="15" t="str">
        <f t="shared" si="17"/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ref="I369:I380" si="18">IF(SUM(B369:F369,H369)=0,"",SUM(B369:F369,H369))</f>
        <v/>
      </c>
      <c r="J369" s="15" t="str">
        <f t="shared" ref="J369:J380" si="19">IF(I369="","",1440-I369)</f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8"/>
        <v/>
      </c>
      <c r="J370" s="15" t="str">
        <f t="shared" si="19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8"/>
        <v/>
      </c>
      <c r="J371" s="15" t="str">
        <f t="shared" si="19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8"/>
        <v/>
      </c>
      <c r="J372" s="15" t="str">
        <f t="shared" si="19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8"/>
        <v/>
      </c>
      <c r="J373" s="15" t="str">
        <f t="shared" si="19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8"/>
        <v/>
      </c>
      <c r="J374" s="15" t="str">
        <f t="shared" si="19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8"/>
        <v/>
      </c>
      <c r="J375" s="15" t="str">
        <f t="shared" si="19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8"/>
        <v/>
      </c>
      <c r="J376" s="15" t="str">
        <f t="shared" si="19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8"/>
        <v/>
      </c>
      <c r="J377" s="15" t="str">
        <f t="shared" si="19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8"/>
        <v/>
      </c>
      <c r="J378" s="15" t="str">
        <f t="shared" si="19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8"/>
        <v/>
      </c>
      <c r="J379" s="15" t="str">
        <f t="shared" si="19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8"/>
        <v/>
      </c>
      <c r="J380" s="15" t="str">
        <f t="shared" si="19"/>
        <v/>
      </c>
      <c r="K380" s="16"/>
      <c r="L380" s="16"/>
      <c r="M380" s="16"/>
      <c r="N38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0">
      <formula1>"Excellent,Good,Neutral,Low,Stressed"</formula1>
      <formula2>0</formula2>
    </dataValidation>
    <dataValidation type="list" allowBlank="1" prompt="Select today's satisfaction level" sqref="L6:L380">
      <formula1>"Very Satisfied,Satisfied,Neutral,Unsatisfied,Very Unsatisfied"</formula1>
      <formula2>0</formula2>
    </dataValidation>
    <dataValidation type="list" allowBlank="1" prompt="Select today's energy level" sqref="M6:M38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vhk</cp:lastModifiedBy>
  <cp:revision>0</cp:revision>
  <dcterms:created xsi:type="dcterms:W3CDTF">2026-07-24T11:49:30Z</dcterms:created>
  <dcterms:modified xsi:type="dcterms:W3CDTF">2026-09-10T15:27:29Z</dcterms:modified>
  <dc:language>en-US</dc:language>
</cp:coreProperties>
</file>